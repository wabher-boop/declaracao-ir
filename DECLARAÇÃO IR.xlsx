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umentos\"/>
    </mc:Choice>
  </mc:AlternateContent>
  <xr:revisionPtr revIDLastSave="0" documentId="13_ncr:1_{ECB3CED1-3515-4EA0-9C15-5F1582F78A5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activeTab="2" xr2:uid="{CC59ADD8-8093-4457-AA94-82BD8BD07EFC}"/>
  </bookViews>
  <sheets>
    <sheet name="TITULAR" sheetId="1" r:id="rId1"/>
    <sheet name="INFORMES" sheetId="2" r:id="rId2"/>
    <sheet name="NOTAS" sheetId="3" r:id="rId3"/>
    <sheet name="TABELA_APO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3" l="1"/>
  <c r="D6" i="3"/>
  <c r="D6" i="2"/>
</calcChain>
</file>

<file path=xl/sharedStrings.xml><?xml version="1.0" encoding="utf-8"?>
<sst xmlns="http://schemas.openxmlformats.org/spreadsheetml/2006/main" count="107" uniqueCount="92">
  <si>
    <t>CPF</t>
  </si>
  <si>
    <t>CEP</t>
  </si>
  <si>
    <t>SIM</t>
  </si>
  <si>
    <t>NÃO</t>
  </si>
  <si>
    <t>Nome</t>
  </si>
  <si>
    <t>Nascimento</t>
  </si>
  <si>
    <t>Título de Eleitor</t>
  </si>
  <si>
    <t>Cônjuge</t>
  </si>
  <si>
    <t>Rua</t>
  </si>
  <si>
    <t>Rua Abreviada</t>
  </si>
  <si>
    <t>Telefone</t>
  </si>
  <si>
    <t>Celular</t>
  </si>
  <si>
    <t>Email</t>
  </si>
  <si>
    <t>Houve Alterações a Declaração Anterior</t>
  </si>
  <si>
    <t>Dependente Cônjuge</t>
  </si>
  <si>
    <t>Residente no Exterior</t>
  </si>
  <si>
    <t>1. DADOS DO TITULAR</t>
  </si>
  <si>
    <t>Preencha abaixo com os dados do titular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</si>
  <si>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</si>
  <si>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</si>
  <si>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</si>
  <si>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</si>
  <si>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</si>
  <si>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</si>
  <si>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</si>
  <si>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</si>
  <si>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</si>
  <si>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</si>
  <si>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</si>
  <si>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</si>
  <si>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</si>
  <si>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</si>
  <si>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</si>
  <si>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</si>
  <si>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</si>
  <si>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</si>
  <si>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</si>
  <si>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</si>
  <si>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</si>
  <si>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</si>
  <si>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</si>
  <si>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</si>
  <si>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</si>
  <si>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</si>
  <si>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</si>
  <si>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</si>
  <si>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</si>
  <si>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</si>
  <si>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</si>
  <si>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</si>
  <si>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</si>
  <si>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</si>
  <si>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</si>
  <si>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</si>
  <si>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</si>
  <si>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</si>
  <si>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</si>
  <si>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</si>
  <si>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</si>
  <si>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</si>
  <si>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</si>
  <si>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</si>
  <si>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</si>
  <si>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</si>
  <si>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</si>
  <si>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</si>
  <si>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</si>
  <si>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</si>
  <si>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</si>
  <si>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</si>
  <si>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2. INFORME DE RENDIMENTOS BANCÁRIOS</t>
  </si>
  <si>
    <t>Preencha abaixo com os informes bancarios</t>
  </si>
  <si>
    <t>Banco</t>
  </si>
  <si>
    <t>Valor Atual</t>
  </si>
  <si>
    <t>Anexo 🖇️</t>
  </si>
  <si>
    <t>2° banco</t>
  </si>
  <si>
    <t>3° banco</t>
  </si>
  <si>
    <t>3. NOTAS BANCÁRIAS OU EXTRATO DE HOLERITES</t>
  </si>
  <si>
    <t>São todos os valores de entradas mês a mês de receitas</t>
  </si>
  <si>
    <t>TOTAL</t>
  </si>
  <si>
    <t>ENTRADAS</t>
  </si>
  <si>
    <t>DATA</t>
  </si>
  <si>
    <t>CATEGORIA</t>
  </si>
  <si>
    <t>VALOR</t>
  </si>
  <si>
    <t>DESPESAS</t>
  </si>
  <si>
    <t>HOLERITE</t>
  </si>
  <si>
    <t>EDUCAÇÃO</t>
  </si>
  <si>
    <t>JOÃO DA SILVA</t>
  </si>
  <si>
    <t>MARIA DO JOÃO</t>
  </si>
  <si>
    <t>RUA DO CURSINO</t>
  </si>
  <si>
    <t>RUA CURSINO</t>
  </si>
  <si>
    <t>JOAOSILVA@GMAIL.COM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</si>
</sst>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\-00"/>
    <numFmt numFmtId="165" formatCode="000&quot;.&quot;000&quot;.&quot;000&quot;.&quot;000"/>
    <numFmt numFmtId="166" formatCode="00000\-000"/>
    <numFmt numFmtId="167" formatCode="\(#\)####\-####"/>
    <numFmt numFmtId="168" formatCode="\(##\)&quot; &quot;#####\-####"/>
    <numFmt numFmtId="169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Montserrat"/>
    </font>
    <font>
      <u/>
      <sz val="9"/>
      <color theme="10"/>
      <name val="Montserrat"/>
    </font>
    <font>
      <b/>
      <sz val="9"/>
      <color theme="1"/>
      <name val="Montserrat"/>
    </font>
    <font>
      <sz val="11"/>
      <color theme="1"/>
      <name val="Calibri"/>
      <family val="2"/>
      <scheme val="minor"/>
    </font>
    <font>
      <i/>
      <sz val="10"/>
      <color theme="1"/>
      <name val="Montserrat"/>
    </font>
    <font>
      <sz val="8"/>
      <color theme="1"/>
      <name val="Montserrat"/>
    </font>
    <font>
      <b/>
      <sz val="12"/>
      <color theme="1"/>
      <name val="Montserrat"/>
    </font>
    <font>
      <b/>
      <sz val="11"/>
      <color theme="1"/>
      <name val="Montserrat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56">
    <xf numFmtId="0" fontId="0" fillId="0" borderId="0" xfId="0"/>
    <xf numFmtId="0" fontId="0" fillId="2" borderId="0" xfId="0" applyFill="1"/>
    <xf numFmtId="0" fontId="5" fillId="0" borderId="0" xfId="0" applyFont="1" applyAlignment="1">
      <alignment horizontal="right" indent="2"/>
    </xf>
    <xf numFmtId="0" fontId="5" fillId="0" borderId="2" xfId="0" applyFont="1" applyBorder="1" applyAlignment="1">
      <alignment horizontal="right" indent="2"/>
    </xf>
    <xf numFmtId="0" fontId="5" fillId="0" borderId="4" xfId="0" applyFont="1" applyBorder="1" applyAlignment="1">
      <alignment horizontal="right" indent="2"/>
    </xf>
    <xf numFmtId="0" fontId="5" fillId="0" borderId="6" xfId="0" applyFont="1" applyBorder="1" applyAlignment="1">
      <alignment horizontal="right" indent="2"/>
    </xf>
    <xf numFmtId="0" fontId="5" fillId="0" borderId="8" xfId="0" applyFont="1" applyBorder="1" applyAlignment="1">
      <alignment horizontal="right" indent="2"/>
    </xf>
    <xf numFmtId="164" fontId="3" fillId="0" borderId="3" xfId="0" applyNumberFormat="1" applyFont="1" applyBorder="1" applyAlignment="1">
      <alignment horizontal="left" indent="2"/>
    </xf>
    <xf numFmtId="0" fontId="3" fillId="0" borderId="11" xfId="0" applyFont="1" applyBorder="1" applyAlignment="1">
      <alignment horizontal="left" indent="2"/>
    </xf>
    <xf numFmtId="0" fontId="3" fillId="4" borderId="5" xfId="0" applyFont="1" applyFill="1" applyBorder="1" applyAlignment="1" applyProtection="1">
      <alignment horizontal="left" indent="2"/>
      <protection locked="0"/>
    </xf>
    <xf numFmtId="164" fontId="3" fillId="4" borderId="7" xfId="0" applyNumberFormat="1" applyFont="1" applyFill="1" applyBorder="1" applyAlignment="1" applyProtection="1">
      <alignment horizontal="left" indent="2"/>
      <protection locked="0"/>
    </xf>
    <xf numFmtId="14" fontId="3" fillId="4" borderId="7" xfId="0" applyNumberFormat="1" applyFont="1" applyFill="1" applyBorder="1" applyAlignment="1" applyProtection="1">
      <alignment horizontal="left" indent="2"/>
      <protection locked="0"/>
    </xf>
    <xf numFmtId="165" fontId="3" fillId="4" borderId="7" xfId="0" applyNumberFormat="1" applyFont="1" applyFill="1" applyBorder="1" applyAlignment="1" applyProtection="1">
      <alignment horizontal="left" indent="2"/>
      <protection locked="0"/>
    </xf>
    <xf numFmtId="0" fontId="3" fillId="4" borderId="7" xfId="0" applyFont="1" applyFill="1" applyBorder="1" applyAlignment="1" applyProtection="1">
      <alignment horizontal="left" indent="2"/>
      <protection locked="0"/>
    </xf>
    <xf numFmtId="166" fontId="3" fillId="4" borderId="7" xfId="0" applyNumberFormat="1" applyFont="1" applyFill="1" applyBorder="1" applyAlignment="1" applyProtection="1">
      <alignment horizontal="left" indent="2"/>
      <protection locked="0"/>
    </xf>
    <xf numFmtId="167" fontId="3" fillId="4" borderId="7" xfId="0" applyNumberFormat="1" applyFont="1" applyFill="1" applyBorder="1" applyAlignment="1" applyProtection="1">
      <alignment horizontal="left" indent="2"/>
      <protection locked="0"/>
    </xf>
    <xf numFmtId="168" fontId="3" fillId="4" borderId="7" xfId="0" applyNumberFormat="1" applyFont="1" applyFill="1" applyBorder="1" applyAlignment="1" applyProtection="1">
      <alignment horizontal="left" indent="2"/>
      <protection locked="0"/>
    </xf>
    <xf numFmtId="0" fontId="4" fillId="4" borderId="7" xfId="2" applyFont="1" applyFill="1" applyBorder="1" applyAlignment="1" applyProtection="1">
      <alignment horizontal="left" indent="2"/>
      <protection locked="0"/>
    </xf>
    <xf numFmtId="0" fontId="3" fillId="4" borderId="9" xfId="0" applyFont="1" applyFill="1" applyBorder="1" applyAlignment="1" applyProtection="1">
      <alignment horizontal="left" indent="2"/>
      <protection locked="0"/>
    </xf>
    <xf numFmtId="0" fontId="5" fillId="0" borderId="14" xfId="0" applyFont="1" applyBorder="1" applyAlignment="1">
      <alignment horizontal="right" indent="2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1" xfId="1" applyFill="1" applyAlignment="1">
      <alignment horizontal="left"/>
    </xf>
    <xf numFmtId="0" fontId="7" fillId="3" borderId="0" xfId="3" applyFont="1" applyAlignment="1">
      <alignment horizontal="left"/>
    </xf>
    <xf numFmtId="0" fontId="8" fillId="0" borderId="0" xfId="0" applyFont="1" applyAlignment="1">
      <alignment horizontal="left"/>
    </xf>
    <xf numFmtId="164" fontId="3" fillId="0" borderId="3" xfId="0" applyNumberFormat="1" applyFon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7" fillId="3" borderId="0" xfId="3" applyFont="1" applyAlignment="1">
      <alignment horizontal="left" indent="2"/>
    </xf>
    <xf numFmtId="0" fontId="0" fillId="0" borderId="0" xfId="0" applyAlignment="1">
      <alignment horizontal="right" indent="2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" fillId="0" borderId="1" xfId="1" applyFill="1" applyAlignment="1">
      <alignment horizontal="center"/>
    </xf>
    <xf numFmtId="0" fontId="7" fillId="3" borderId="0" xfId="3" applyFont="1" applyAlignment="1">
      <alignment horizontal="center"/>
    </xf>
    <xf numFmtId="169" fontId="0" fillId="0" borderId="0" xfId="0" applyNumberFormat="1" applyAlignment="1">
      <alignment horizontal="center"/>
    </xf>
    <xf numFmtId="169" fontId="1" fillId="0" borderId="1" xfId="1" applyNumberFormat="1" applyFill="1" applyAlignment="1">
      <alignment horizontal="center"/>
    </xf>
    <xf numFmtId="169" fontId="7" fillId="3" borderId="0" xfId="3" applyNumberFormat="1" applyFont="1" applyAlignment="1">
      <alignment horizontal="center"/>
    </xf>
    <xf numFmtId="169" fontId="10" fillId="0" borderId="0" xfId="0" applyNumberFormat="1" applyFont="1" applyAlignment="1">
      <alignment horizontal="center"/>
    </xf>
    <xf numFmtId="169" fontId="0" fillId="0" borderId="0" xfId="0" applyNumberFormat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14" fontId="3" fillId="4" borderId="12" xfId="0" applyNumberFormat="1" applyFont="1" applyFill="1" applyBorder="1" applyAlignment="1" applyProtection="1">
      <alignment horizontal="left" indent="2"/>
      <protection locked="0"/>
    </xf>
    <xf numFmtId="169" fontId="3" fillId="4" borderId="13" xfId="4" applyNumberFormat="1" applyFont="1" applyFill="1" applyBorder="1" applyAlignment="1" applyProtection="1">
      <alignment horizontal="left" indent="2"/>
      <protection locked="0"/>
    </xf>
    <xf numFmtId="0" fontId="3" fillId="4" borderId="10" xfId="0" applyFont="1" applyFill="1" applyBorder="1" applyAlignment="1" applyProtection="1">
      <alignment horizontal="left" indent="2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9" fontId="0" fillId="0" borderId="0" xfId="0" applyNumberFormat="1" applyAlignment="1" applyProtection="1">
      <alignment horizontal="center"/>
      <protection locked="0"/>
    </xf>
    <xf numFmtId="169" fontId="10" fillId="7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69" fontId="9" fillId="5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top"/>
    </xf>
    <xf numFmtId="0" fontId="9" fillId="5" borderId="0" xfId="0" applyFont="1" applyFill="1" applyAlignment="1">
      <alignment horizontal="center" vertical="top"/>
    </xf>
    <xf numFmtId="169" fontId="9" fillId="5" borderId="0" xfId="0" applyNumberFormat="1" applyFont="1" applyFill="1" applyAlignment="1">
      <alignment horizontal="center" vertical="top"/>
    </xf>
    <xf numFmtId="169" fontId="10" fillId="4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</cellXfs>
  <cellStyles count="5">
    <cellStyle name="20% - Ênfase1" xfId="3" builtinId="30"/>
    <cellStyle name="Hiperlink" xfId="2" builtinId="8"/>
    <cellStyle name="Moeda" xfId="4" builtinId="4"/>
    <cellStyle name="Normal" xfId="0" builtinId="0"/>
    <cellStyle name="Título 1" xfId="1" builtinId="16"/>
  </cellStyles>
  <dxfs count="10">
    <dxf>
      <numFmt numFmtId="169" formatCode="&quot;R$&quot;\ #,##0.00"/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bottom" textRotation="0" wrapText="0" indent="0" justifyLastLine="0" shrinkToFit="0" readingOrder="0"/>
    </dxf>
    <dxf>
      <numFmt numFmtId="169" formatCode="&quot;R$&quot;\ #,##0.00"/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6BB00"/>
      <color rgb="FFC593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9.svg"/><Relationship Id="rId3" Type="http://schemas.openxmlformats.org/officeDocument/2006/relationships/hyperlink" Target="#TITULAR!D3"/><Relationship Id="rId7" Type="http://schemas.openxmlformats.org/officeDocument/2006/relationships/image" Target="../media/image3.svg"/><Relationship Id="rId12" Type="http://schemas.openxmlformats.org/officeDocument/2006/relationships/image" Target="../media/image8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11" Type="http://schemas.openxmlformats.org/officeDocument/2006/relationships/image" Target="../media/image7.svg"/><Relationship Id="rId5" Type="http://schemas.openxmlformats.org/officeDocument/2006/relationships/hyperlink" Target="#NOTAS!D3"/><Relationship Id="rId10" Type="http://schemas.openxmlformats.org/officeDocument/2006/relationships/image" Target="../media/image6.png"/><Relationship Id="rId4" Type="http://schemas.openxmlformats.org/officeDocument/2006/relationships/hyperlink" Target="#INFORMES!D3"/><Relationship Id="rId9" Type="http://schemas.openxmlformats.org/officeDocument/2006/relationships/image" Target="../media/image5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9.svg"/><Relationship Id="rId3" Type="http://schemas.openxmlformats.org/officeDocument/2006/relationships/hyperlink" Target="#TITULAR!D3"/><Relationship Id="rId7" Type="http://schemas.openxmlformats.org/officeDocument/2006/relationships/image" Target="../media/image3.svg"/><Relationship Id="rId12" Type="http://schemas.openxmlformats.org/officeDocument/2006/relationships/image" Target="../media/image8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11" Type="http://schemas.openxmlformats.org/officeDocument/2006/relationships/image" Target="../media/image7.svg"/><Relationship Id="rId5" Type="http://schemas.openxmlformats.org/officeDocument/2006/relationships/hyperlink" Target="#NOTAS!D3"/><Relationship Id="rId15" Type="http://schemas.openxmlformats.org/officeDocument/2006/relationships/image" Target="../media/image11.svg"/><Relationship Id="rId10" Type="http://schemas.openxmlformats.org/officeDocument/2006/relationships/image" Target="../media/image6.png"/><Relationship Id="rId4" Type="http://schemas.openxmlformats.org/officeDocument/2006/relationships/hyperlink" Target="#INFORMES!D3"/><Relationship Id="rId9" Type="http://schemas.openxmlformats.org/officeDocument/2006/relationships/image" Target="../media/image5.svg"/><Relationship Id="rId1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11.svg"/><Relationship Id="rId3" Type="http://schemas.openxmlformats.org/officeDocument/2006/relationships/hyperlink" Target="#TITULAR!D3"/><Relationship Id="rId7" Type="http://schemas.openxmlformats.org/officeDocument/2006/relationships/image" Target="../media/image3.svg"/><Relationship Id="rId12" Type="http://schemas.openxmlformats.org/officeDocument/2006/relationships/image" Target="../media/image10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11" Type="http://schemas.openxmlformats.org/officeDocument/2006/relationships/image" Target="../media/image7.svg"/><Relationship Id="rId5" Type="http://schemas.openxmlformats.org/officeDocument/2006/relationships/hyperlink" Target="#NOTAS!D3"/><Relationship Id="rId10" Type="http://schemas.openxmlformats.org/officeDocument/2006/relationships/image" Target="../media/image6.png"/><Relationship Id="rId4" Type="http://schemas.openxmlformats.org/officeDocument/2006/relationships/hyperlink" Target="#INFORMES!D3"/><Relationship Id="rId9" Type="http://schemas.openxmlformats.org/officeDocument/2006/relationships/image" Target="../media/image5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406318</xdr:colOff>
      <xdr:row>1</xdr:row>
      <xdr:rowOff>194950</xdr:rowOff>
    </xdr:from>
    <xdr:to>
      <xdr:col>0</xdr:col>
      <xdr:colOff>1550067</xdr:colOff>
      <xdr:row>5</xdr:row>
      <xdr:rowOff>95250</xdr:rowOff>
    </xdr:to>
    <xdr:pic>
      <xdr:nvPicPr>
        <xdr:cNvPr id="49" name="Imagem 48" descr="MEI: como preparar a declaração do imposto de renda | Diário do Comércio">
          <a:extLst>
            <a:ext uri="{FF2B5EF4-FFF2-40B4-BE49-F238E27FC236}">
              <a16:creationId xmlns:a16="http://schemas.microsoft.com/office/drawing/2014/main" id="{711C3248-5D70-3A39-4478-3257F4C72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49" b="89972" l="8993" r="89928">
                      <a14:foregroundMark x1="16007" y1="39554" x2="16007" y2="39554"/>
                      <a14:foregroundMark x1="24281" y1="73259" x2="24281" y2="73259"/>
                      <a14:foregroundMark x1="8993" y1="80223" x2="8993" y2="80223"/>
                      <a14:foregroundMark x1="53957" y1="79944" x2="53957" y2="79944"/>
                      <a14:foregroundMark x1="68345" y1="59331" x2="68345" y2="59331"/>
                      <a14:foregroundMark x1="72482" y1="60724" x2="72482" y2="60724"/>
                      <a14:foregroundMark x1="79496" y1="58496" x2="79496" y2="58496"/>
                      <a14:foregroundMark x1="87050" y1="57660" x2="87050" y2="57660"/>
                      <a14:backgroundMark x1="73741" y1="57660" x2="73741" y2="57660"/>
                      <a14:backgroundMark x1="81475" y1="57660" x2="81475" y2="5766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318" y="404500"/>
          <a:ext cx="1143749" cy="73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240192</xdr:colOff>
      <xdr:row>6</xdr:row>
      <xdr:rowOff>63500</xdr:rowOff>
    </xdr:from>
    <xdr:to>
      <xdr:col>0</xdr:col>
      <xdr:colOff>1716192</xdr:colOff>
      <xdr:row>8</xdr:row>
      <xdr:rowOff>63500</xdr:rowOff>
    </xdr:to>
    <xdr:sp macro="" textlink="">
      <xdr:nvSpPr>
        <xdr:cNvPr id="50" name="Retângulo: Cantos Arredondados 4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EAB01A-64A1-25BF-47F0-8B53D1E2EB6E}"/>
            </a:ext>
          </a:extLst>
        </xdr:cNvPr>
        <xdr:cNvSpPr/>
      </xdr:nvSpPr>
      <xdr:spPr>
        <a:xfrm>
          <a:off x="240192" y="1333500"/>
          <a:ext cx="1476000" cy="423333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C59332">
                <a:shade val="30000"/>
                <a:satMod val="115000"/>
              </a:srgbClr>
            </a:gs>
            <a:gs pos="50000">
              <a:srgbClr val="C59332">
                <a:shade val="67500"/>
                <a:satMod val="115000"/>
              </a:srgbClr>
            </a:gs>
            <a:gs pos="100000">
              <a:srgbClr val="C59332">
                <a:shade val="100000"/>
                <a:satMod val="115000"/>
              </a:srgb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Montserrat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240192</xdr:colOff>
      <xdr:row>9</xdr:row>
      <xdr:rowOff>31750</xdr:rowOff>
    </xdr:from>
    <xdr:to>
      <xdr:col>0</xdr:col>
      <xdr:colOff>1716192</xdr:colOff>
      <xdr:row>11</xdr:row>
      <xdr:rowOff>31750</xdr:rowOff>
    </xdr:to>
    <xdr:sp macro="" textlink="">
      <xdr:nvSpPr>
        <xdr:cNvPr id="51" name="Retângulo: Cantos Arredondados 5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D00F10-6CF5-BF77-AF0E-5E15EADEE318}"/>
            </a:ext>
          </a:extLst>
        </xdr:cNvPr>
        <xdr:cNvSpPr/>
      </xdr:nvSpPr>
      <xdr:spPr>
        <a:xfrm>
          <a:off x="240192" y="1917700"/>
          <a:ext cx="147600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Montserrat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240192</xdr:colOff>
      <xdr:row>12</xdr:row>
      <xdr:rowOff>0</xdr:rowOff>
    </xdr:from>
    <xdr:to>
      <xdr:col>0</xdr:col>
      <xdr:colOff>1716192</xdr:colOff>
      <xdr:row>14</xdr:row>
      <xdr:rowOff>0</xdr:rowOff>
    </xdr:to>
    <xdr:sp macro="" textlink="">
      <xdr:nvSpPr>
        <xdr:cNvPr id="52" name="Retângulo: Cantos Arredondados 5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835957B-8885-B67E-2FF1-3FDBE7EBADD3}"/>
            </a:ext>
          </a:extLst>
        </xdr:cNvPr>
        <xdr:cNvSpPr/>
      </xdr:nvSpPr>
      <xdr:spPr>
        <a:xfrm>
          <a:off x="240192" y="2514600"/>
          <a:ext cx="147600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Montserrat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239067</xdr:colOff>
      <xdr:row>6</xdr:row>
      <xdr:rowOff>104775</xdr:rowOff>
    </xdr:from>
    <xdr:to>
      <xdr:col>0</xdr:col>
      <xdr:colOff>553392</xdr:colOff>
      <xdr:row>8</xdr:row>
      <xdr:rowOff>0</xdr:rowOff>
    </xdr:to>
    <xdr:pic>
      <xdr:nvPicPr>
        <xdr:cNvPr id="54" name="Gráfico 53" descr="Debate de grupo com preenchimento sólido">
          <a:extLst>
            <a:ext uri="{FF2B5EF4-FFF2-40B4-BE49-F238E27FC236}">
              <a16:creationId xmlns:a16="http://schemas.microsoft.com/office/drawing/2014/main" id="{8F703EB0-EA23-C99E-C6D7-2873340EE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39067" y="1362075"/>
          <a:ext cx="314325" cy="314325"/>
        </a:xfrm>
        <a:prstGeom prst="rect">
          <a:avLst/>
        </a:prstGeom>
      </xdr:spPr>
    </xdr:pic>
    <xdr:clientData/>
  </xdr:twoCellAnchor>
  <xdr:twoCellAnchor editAs="absolute">
    <xdr:from>
      <xdr:col>0</xdr:col>
      <xdr:colOff>259243</xdr:colOff>
      <xdr:row>9</xdr:row>
      <xdr:rowOff>87975</xdr:rowOff>
    </xdr:from>
    <xdr:to>
      <xdr:col>0</xdr:col>
      <xdr:colOff>572443</xdr:colOff>
      <xdr:row>10</xdr:row>
      <xdr:rowOff>191625</xdr:rowOff>
    </xdr:to>
    <xdr:pic>
      <xdr:nvPicPr>
        <xdr:cNvPr id="56" name="Gráfico 55" descr="Lista com preenchimento sólido">
          <a:extLst>
            <a:ext uri="{FF2B5EF4-FFF2-40B4-BE49-F238E27FC236}">
              <a16:creationId xmlns:a16="http://schemas.microsoft.com/office/drawing/2014/main" id="{541A0E8F-D9AE-7B5B-74DD-531AD0577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59243" y="1973925"/>
          <a:ext cx="313200" cy="3132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259243</xdr:colOff>
      <xdr:row>12</xdr:row>
      <xdr:rowOff>29700</xdr:rowOff>
    </xdr:from>
    <xdr:to>
      <xdr:col>0</xdr:col>
      <xdr:colOff>572443</xdr:colOff>
      <xdr:row>13</xdr:row>
      <xdr:rowOff>133350</xdr:rowOff>
    </xdr:to>
    <xdr:pic>
      <xdr:nvPicPr>
        <xdr:cNvPr id="58" name="Gráfico 57" descr="Jornal com preenchimento sólido">
          <a:extLst>
            <a:ext uri="{FF2B5EF4-FFF2-40B4-BE49-F238E27FC236}">
              <a16:creationId xmlns:a16="http://schemas.microsoft.com/office/drawing/2014/main" id="{9F12B677-EF71-B3FA-E7D8-B564C9C68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59243" y="2544300"/>
          <a:ext cx="313200" cy="313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161925</xdr:rowOff>
    </xdr:from>
    <xdr:to>
      <xdr:col>3</xdr:col>
      <xdr:colOff>0</xdr:colOff>
      <xdr:row>8</xdr:row>
      <xdr:rowOff>161925</xdr:rowOff>
    </xdr:to>
    <xdr:cxnSp macro="">
      <xdr:nvCxnSpPr>
        <xdr:cNvPr id="63" name="Conector reto 62">
          <a:extLst>
            <a:ext uri="{FF2B5EF4-FFF2-40B4-BE49-F238E27FC236}">
              <a16:creationId xmlns:a16="http://schemas.microsoft.com/office/drawing/2014/main" id="{C3590036-4EC8-5A1E-1762-A24559BA2A72}"/>
            </a:ext>
          </a:extLst>
        </xdr:cNvPr>
        <xdr:cNvCxnSpPr/>
      </xdr:nvCxnSpPr>
      <xdr:spPr>
        <a:xfrm>
          <a:off x="3333750" y="1628775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240192</xdr:colOff>
      <xdr:row>15</xdr:row>
      <xdr:rowOff>0</xdr:rowOff>
    </xdr:from>
    <xdr:to>
      <xdr:col>0</xdr:col>
      <xdr:colOff>1716192</xdr:colOff>
      <xdr:row>15</xdr:row>
      <xdr:rowOff>0</xdr:rowOff>
    </xdr:to>
    <xdr:cxnSp macro="">
      <xdr:nvCxnSpPr>
        <xdr:cNvPr id="73" name="Conector reto 72">
          <a:extLst>
            <a:ext uri="{FF2B5EF4-FFF2-40B4-BE49-F238E27FC236}">
              <a16:creationId xmlns:a16="http://schemas.microsoft.com/office/drawing/2014/main" id="{57BAF6C2-3344-AD36-B002-1CAD294D0869}"/>
            </a:ext>
          </a:extLst>
        </xdr:cNvPr>
        <xdr:cNvCxnSpPr/>
      </xdr:nvCxnSpPr>
      <xdr:spPr>
        <a:xfrm>
          <a:off x="240192" y="3143250"/>
          <a:ext cx="1476000" cy="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320675</xdr:colOff>
      <xdr:row>18</xdr:row>
      <xdr:rowOff>70910</xdr:rowOff>
    </xdr:from>
    <xdr:to>
      <xdr:col>4</xdr:col>
      <xdr:colOff>1273175</xdr:colOff>
      <xdr:row>19</xdr:row>
      <xdr:rowOff>147109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4C327F11-AD7D-A67A-4803-D4AFFC9ABC20}"/>
            </a:ext>
          </a:extLst>
        </xdr:cNvPr>
        <xdr:cNvGrpSpPr/>
      </xdr:nvGrpSpPr>
      <xdr:grpSpPr>
        <a:xfrm>
          <a:off x="6130925" y="3842810"/>
          <a:ext cx="952500" cy="285749"/>
          <a:chOff x="6162675" y="4105276"/>
          <a:chExt cx="952500" cy="285750"/>
        </a:xfrm>
      </xdr:grpSpPr>
      <xdr:sp macro="" textlink="">
        <xdr:nvSpPr>
          <xdr:cNvPr id="2" name="Retângulo: Cantos Arredondados 1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D42CE531-7D8F-5F6D-23F2-E6E4B8358E41}"/>
              </a:ext>
            </a:extLst>
          </xdr:cNvPr>
          <xdr:cNvSpPr/>
        </xdr:nvSpPr>
        <xdr:spPr>
          <a:xfrm>
            <a:off x="6162675" y="4105276"/>
            <a:ext cx="952500" cy="28575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0" algn="l"/>
            <a:r>
              <a:rPr lang="pt-BR" sz="800" b="1">
                <a:solidFill>
                  <a:schemeClr val="bg2">
                    <a:lumMod val="10000"/>
                  </a:schemeClr>
                </a:solidFill>
                <a:latin typeface="Montserrat" pitchFamily="2" charset="0"/>
              </a:rPr>
              <a:t>PRÓXIMO</a:t>
            </a:r>
            <a:endParaRPr lang="pt-BR" sz="1100" b="1">
              <a:solidFill>
                <a:schemeClr val="bg2">
                  <a:lumMod val="10000"/>
                </a:schemeClr>
              </a:solidFill>
              <a:latin typeface="Montserrat" pitchFamily="2" charset="0"/>
            </a:endParaRPr>
          </a:p>
        </xdr:txBody>
      </xdr:sp>
      <xdr:pic>
        <xdr:nvPicPr>
          <xdr:cNvPr id="12" name="Gráfico 11" descr="Voltar com preenchimento sólido">
            <a:extLst>
              <a:ext uri="{FF2B5EF4-FFF2-40B4-BE49-F238E27FC236}">
                <a16:creationId xmlns:a16="http://schemas.microsoft.com/office/drawing/2014/main" id="{0A859ADF-9E32-031D-A625-11FA96AB8E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6805573" y="4126648"/>
            <a:ext cx="242926" cy="24292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406318</xdr:colOff>
      <xdr:row>1</xdr:row>
      <xdr:rowOff>194950</xdr:rowOff>
    </xdr:from>
    <xdr:to>
      <xdr:col>0</xdr:col>
      <xdr:colOff>1550067</xdr:colOff>
      <xdr:row>5</xdr:row>
      <xdr:rowOff>95250</xdr:rowOff>
    </xdr:to>
    <xdr:pic>
      <xdr:nvPicPr>
        <xdr:cNvPr id="2" name="Imagem 1" descr="MEI: como preparar a declaração do imposto de renda | Diário do Comércio">
          <a:extLst>
            <a:ext uri="{FF2B5EF4-FFF2-40B4-BE49-F238E27FC236}">
              <a16:creationId xmlns:a16="http://schemas.microsoft.com/office/drawing/2014/main" id="{A891FAB1-0AE2-43B9-8C03-EB5E13CE7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49" b="89972" l="8993" r="89928">
                      <a14:foregroundMark x1="16007" y1="39554" x2="16007" y2="39554"/>
                      <a14:foregroundMark x1="24281" y1="73259" x2="24281" y2="73259"/>
                      <a14:foregroundMark x1="8993" y1="80223" x2="8993" y2="80223"/>
                      <a14:foregroundMark x1="53957" y1="79944" x2="53957" y2="79944"/>
                      <a14:foregroundMark x1="68345" y1="59331" x2="68345" y2="59331"/>
                      <a14:foregroundMark x1="72482" y1="60724" x2="72482" y2="60724"/>
                      <a14:foregroundMark x1="79496" y1="58496" x2="79496" y2="58496"/>
                      <a14:foregroundMark x1="87050" y1="57660" x2="87050" y2="57660"/>
                      <a14:backgroundMark x1="73741" y1="57660" x2="73741" y2="57660"/>
                      <a14:backgroundMark x1="81475" y1="57660" x2="81475" y2="5766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318" y="404500"/>
          <a:ext cx="1143749" cy="73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240192</xdr:colOff>
      <xdr:row>6</xdr:row>
      <xdr:rowOff>63500</xdr:rowOff>
    </xdr:from>
    <xdr:to>
      <xdr:col>0</xdr:col>
      <xdr:colOff>1716192</xdr:colOff>
      <xdr:row>8</xdr:row>
      <xdr:rowOff>63500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DC1B964-91E7-4E6A-88E7-5E23413A7C55}"/>
            </a:ext>
          </a:extLst>
        </xdr:cNvPr>
        <xdr:cNvSpPr/>
      </xdr:nvSpPr>
      <xdr:spPr>
        <a:xfrm>
          <a:off x="240192" y="1320800"/>
          <a:ext cx="147600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Montserrat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240192</xdr:colOff>
      <xdr:row>9</xdr:row>
      <xdr:rowOff>31750</xdr:rowOff>
    </xdr:from>
    <xdr:to>
      <xdr:col>0</xdr:col>
      <xdr:colOff>1716192</xdr:colOff>
      <xdr:row>11</xdr:row>
      <xdr:rowOff>31750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CB3536A-68B6-48C9-AC79-DC4E4622A265}"/>
            </a:ext>
          </a:extLst>
        </xdr:cNvPr>
        <xdr:cNvSpPr/>
      </xdr:nvSpPr>
      <xdr:spPr>
        <a:xfrm>
          <a:off x="240192" y="1936750"/>
          <a:ext cx="1476000" cy="423333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C59332">
                <a:shade val="30000"/>
                <a:satMod val="115000"/>
              </a:srgbClr>
            </a:gs>
            <a:gs pos="50000">
              <a:srgbClr val="C59332">
                <a:shade val="67500"/>
                <a:satMod val="115000"/>
              </a:srgbClr>
            </a:gs>
            <a:gs pos="100000">
              <a:srgbClr val="C59332">
                <a:shade val="100000"/>
                <a:satMod val="115000"/>
              </a:srgb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Montserrat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240192</xdr:colOff>
      <xdr:row>12</xdr:row>
      <xdr:rowOff>0</xdr:rowOff>
    </xdr:from>
    <xdr:to>
      <xdr:col>0</xdr:col>
      <xdr:colOff>1716192</xdr:colOff>
      <xdr:row>14</xdr:row>
      <xdr:rowOff>0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34CE95A-FF9F-4E48-B253-4A0DF16160B2}"/>
            </a:ext>
          </a:extLst>
        </xdr:cNvPr>
        <xdr:cNvSpPr/>
      </xdr:nvSpPr>
      <xdr:spPr>
        <a:xfrm>
          <a:off x="240192" y="2514600"/>
          <a:ext cx="147600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Montserrat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239067</xdr:colOff>
      <xdr:row>6</xdr:row>
      <xdr:rowOff>104775</xdr:rowOff>
    </xdr:from>
    <xdr:to>
      <xdr:col>0</xdr:col>
      <xdr:colOff>553392</xdr:colOff>
      <xdr:row>8</xdr:row>
      <xdr:rowOff>0</xdr:rowOff>
    </xdr:to>
    <xdr:pic>
      <xdr:nvPicPr>
        <xdr:cNvPr id="6" name="Gráfico 5" descr="Debate de grupo com preenchimento sólido">
          <a:extLst>
            <a:ext uri="{FF2B5EF4-FFF2-40B4-BE49-F238E27FC236}">
              <a16:creationId xmlns:a16="http://schemas.microsoft.com/office/drawing/2014/main" id="{8555EDAB-8295-4824-A896-0A92EDFB7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39067" y="1362075"/>
          <a:ext cx="314325" cy="314325"/>
        </a:xfrm>
        <a:prstGeom prst="rect">
          <a:avLst/>
        </a:prstGeom>
      </xdr:spPr>
    </xdr:pic>
    <xdr:clientData/>
  </xdr:twoCellAnchor>
  <xdr:twoCellAnchor editAs="absolute">
    <xdr:from>
      <xdr:col>0</xdr:col>
      <xdr:colOff>259243</xdr:colOff>
      <xdr:row>9</xdr:row>
      <xdr:rowOff>87975</xdr:rowOff>
    </xdr:from>
    <xdr:to>
      <xdr:col>0</xdr:col>
      <xdr:colOff>572443</xdr:colOff>
      <xdr:row>10</xdr:row>
      <xdr:rowOff>191625</xdr:rowOff>
    </xdr:to>
    <xdr:pic>
      <xdr:nvPicPr>
        <xdr:cNvPr id="7" name="Gráfico 6" descr="Lista com preenchimento sólido">
          <a:extLst>
            <a:ext uri="{FF2B5EF4-FFF2-40B4-BE49-F238E27FC236}">
              <a16:creationId xmlns:a16="http://schemas.microsoft.com/office/drawing/2014/main" id="{DFEBBF98-B73A-4933-9112-46577E51A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59243" y="1973925"/>
          <a:ext cx="313200" cy="3132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259243</xdr:colOff>
      <xdr:row>12</xdr:row>
      <xdr:rowOff>29700</xdr:rowOff>
    </xdr:from>
    <xdr:to>
      <xdr:col>0</xdr:col>
      <xdr:colOff>572443</xdr:colOff>
      <xdr:row>13</xdr:row>
      <xdr:rowOff>133350</xdr:rowOff>
    </xdr:to>
    <xdr:pic>
      <xdr:nvPicPr>
        <xdr:cNvPr id="8" name="Gráfico 7" descr="Jornal com preenchimento sólido">
          <a:extLst>
            <a:ext uri="{FF2B5EF4-FFF2-40B4-BE49-F238E27FC236}">
              <a16:creationId xmlns:a16="http://schemas.microsoft.com/office/drawing/2014/main" id="{C2EB7535-50FD-4CB9-9169-285D21671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59243" y="2544300"/>
          <a:ext cx="313200" cy="313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161925</xdr:rowOff>
    </xdr:from>
    <xdr:to>
      <xdr:col>3</xdr:col>
      <xdr:colOff>0</xdr:colOff>
      <xdr:row>8</xdr:row>
      <xdr:rowOff>161925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64A067D7-FD42-49D9-ABC6-64620A715ACF}"/>
            </a:ext>
          </a:extLst>
        </xdr:cNvPr>
        <xdr:cNvCxnSpPr/>
      </xdr:nvCxnSpPr>
      <xdr:spPr>
        <a:xfrm>
          <a:off x="3333750" y="1952625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240192</xdr:colOff>
      <xdr:row>15</xdr:row>
      <xdr:rowOff>0</xdr:rowOff>
    </xdr:from>
    <xdr:to>
      <xdr:col>0</xdr:col>
      <xdr:colOff>1716192</xdr:colOff>
      <xdr:row>15</xdr:row>
      <xdr:rowOff>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D1F986BE-9C05-49ED-ACA1-D460D70C0038}"/>
            </a:ext>
          </a:extLst>
        </xdr:cNvPr>
        <xdr:cNvCxnSpPr/>
      </xdr:nvCxnSpPr>
      <xdr:spPr>
        <a:xfrm>
          <a:off x="240192" y="3143250"/>
          <a:ext cx="1476000" cy="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900641</xdr:colOff>
      <xdr:row>20</xdr:row>
      <xdr:rowOff>30692</xdr:rowOff>
    </xdr:from>
    <xdr:to>
      <xdr:col>4</xdr:col>
      <xdr:colOff>1853141</xdr:colOff>
      <xdr:row>21</xdr:row>
      <xdr:rowOff>106891</xdr:rowOff>
    </xdr:to>
    <xdr:grpSp>
      <xdr:nvGrpSpPr>
        <xdr:cNvPr id="14" name="Agrupar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4B31210-EA71-4BA9-9B9C-5FC02BF7B594}"/>
            </a:ext>
          </a:extLst>
        </xdr:cNvPr>
        <xdr:cNvGrpSpPr/>
      </xdr:nvGrpSpPr>
      <xdr:grpSpPr>
        <a:xfrm>
          <a:off x="6710891" y="4221692"/>
          <a:ext cx="952500" cy="285749"/>
          <a:chOff x="6162675" y="4105276"/>
          <a:chExt cx="952500" cy="285750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0308C5AE-C702-C7B1-9E68-7009D045C9B3}"/>
              </a:ext>
            </a:extLst>
          </xdr:cNvPr>
          <xdr:cNvSpPr/>
        </xdr:nvSpPr>
        <xdr:spPr>
          <a:xfrm>
            <a:off x="6162675" y="4105276"/>
            <a:ext cx="952500" cy="28575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0" algn="l"/>
            <a:r>
              <a:rPr lang="pt-BR" sz="800" b="1">
                <a:solidFill>
                  <a:schemeClr val="bg2">
                    <a:lumMod val="10000"/>
                  </a:schemeClr>
                </a:solidFill>
                <a:latin typeface="Montserrat" pitchFamily="2" charset="0"/>
              </a:rPr>
              <a:t>PRÓXIMO</a:t>
            </a:r>
            <a:endParaRPr lang="pt-BR" sz="1100" b="1">
              <a:solidFill>
                <a:schemeClr val="bg2">
                  <a:lumMod val="10000"/>
                </a:schemeClr>
              </a:solidFill>
              <a:latin typeface="Montserrat" pitchFamily="2" charset="0"/>
            </a:endParaRPr>
          </a:p>
        </xdr:txBody>
      </xdr:sp>
      <xdr:pic>
        <xdr:nvPicPr>
          <xdr:cNvPr id="16" name="Gráfico 15" descr="Voltar com preenchimento sólido">
            <a:extLst>
              <a:ext uri="{FF2B5EF4-FFF2-40B4-BE49-F238E27FC236}">
                <a16:creationId xmlns:a16="http://schemas.microsoft.com/office/drawing/2014/main" id="{059278CE-B859-26AB-0578-76D8A651BC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6805573" y="4126648"/>
            <a:ext cx="242926" cy="242926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3243791</xdr:colOff>
      <xdr:row>20</xdr:row>
      <xdr:rowOff>30692</xdr:rowOff>
    </xdr:from>
    <xdr:to>
      <xdr:col>4</xdr:col>
      <xdr:colOff>883707</xdr:colOff>
      <xdr:row>21</xdr:row>
      <xdr:rowOff>106891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BAEA6A25-4D42-1AB2-82AB-654DF4C2D405}"/>
            </a:ext>
          </a:extLst>
        </xdr:cNvPr>
        <xdr:cNvGrpSpPr/>
      </xdr:nvGrpSpPr>
      <xdr:grpSpPr>
        <a:xfrm>
          <a:off x="5739341" y="4221692"/>
          <a:ext cx="954616" cy="285749"/>
          <a:chOff x="5739341" y="4221692"/>
          <a:chExt cx="954616" cy="285749"/>
        </a:xfrm>
      </xdr:grpSpPr>
      <xdr:sp macro="" textlink="">
        <xdr:nvSpPr>
          <xdr:cNvPr id="18" name="Retângulo: Cantos Arredondados 1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E2C7751-0BE9-F02B-6375-577293004766}"/>
              </a:ext>
            </a:extLst>
          </xdr:cNvPr>
          <xdr:cNvSpPr/>
        </xdr:nvSpPr>
        <xdr:spPr>
          <a:xfrm>
            <a:off x="5739341" y="4221692"/>
            <a:ext cx="954616" cy="285749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0" algn="r"/>
            <a:r>
              <a:rPr lang="pt-BR" sz="800" b="1">
                <a:solidFill>
                  <a:schemeClr val="bg2">
                    <a:lumMod val="10000"/>
                  </a:schemeClr>
                </a:solidFill>
                <a:latin typeface="Montserrat" pitchFamily="2" charset="0"/>
              </a:rPr>
              <a:t>ANTERIOR</a:t>
            </a:r>
            <a:endParaRPr lang="pt-BR" sz="1100" b="1">
              <a:solidFill>
                <a:schemeClr val="bg2">
                  <a:lumMod val="10000"/>
                </a:schemeClr>
              </a:solidFill>
              <a:latin typeface="Montserrat" pitchFamily="2" charset="0"/>
            </a:endParaRPr>
          </a:p>
        </xdr:txBody>
      </xdr:sp>
      <xdr:pic>
        <xdr:nvPicPr>
          <xdr:cNvPr id="21" name="Gráfico 20" descr="Voltar com preenchimento sólido">
            <a:extLst>
              <a:ext uri="{FF2B5EF4-FFF2-40B4-BE49-F238E27FC236}">
                <a16:creationId xmlns:a16="http://schemas.microsoft.com/office/drawing/2014/main" id="{F9F0CCA4-C384-1FF3-8980-6C71C9ADEE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5793583" y="4255296"/>
            <a:ext cx="244800" cy="24480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406318</xdr:colOff>
      <xdr:row>1</xdr:row>
      <xdr:rowOff>194950</xdr:rowOff>
    </xdr:from>
    <xdr:to>
      <xdr:col>0</xdr:col>
      <xdr:colOff>1550067</xdr:colOff>
      <xdr:row>5</xdr:row>
      <xdr:rowOff>95250</xdr:rowOff>
    </xdr:to>
    <xdr:pic>
      <xdr:nvPicPr>
        <xdr:cNvPr id="2" name="Imagem 1" descr="MEI: como preparar a declaração do imposto de renda | Diário do Comércio">
          <a:extLst>
            <a:ext uri="{FF2B5EF4-FFF2-40B4-BE49-F238E27FC236}">
              <a16:creationId xmlns:a16="http://schemas.microsoft.com/office/drawing/2014/main" id="{DA6D5C32-9B62-4468-A584-723336630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749" b="89972" l="8993" r="89928">
                      <a14:foregroundMark x1="16007" y1="39554" x2="16007" y2="39554"/>
                      <a14:foregroundMark x1="24281" y1="73259" x2="24281" y2="73259"/>
                      <a14:foregroundMark x1="8993" y1="80223" x2="8993" y2="80223"/>
                      <a14:foregroundMark x1="53957" y1="79944" x2="53957" y2="79944"/>
                      <a14:foregroundMark x1="68345" y1="59331" x2="68345" y2="59331"/>
                      <a14:foregroundMark x1="72482" y1="60724" x2="72482" y2="60724"/>
                      <a14:foregroundMark x1="79496" y1="58496" x2="79496" y2="58496"/>
                      <a14:foregroundMark x1="87050" y1="57660" x2="87050" y2="57660"/>
                      <a14:backgroundMark x1="73741" y1="57660" x2="73741" y2="57660"/>
                      <a14:backgroundMark x1="81475" y1="57660" x2="81475" y2="5766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318" y="404500"/>
          <a:ext cx="1143749" cy="73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240192</xdr:colOff>
      <xdr:row>6</xdr:row>
      <xdr:rowOff>63500</xdr:rowOff>
    </xdr:from>
    <xdr:to>
      <xdr:col>0</xdr:col>
      <xdr:colOff>1716192</xdr:colOff>
      <xdr:row>8</xdr:row>
      <xdr:rowOff>63500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BAAC73-C17A-41F3-B4E0-0AF403DD57C5}"/>
            </a:ext>
          </a:extLst>
        </xdr:cNvPr>
        <xdr:cNvSpPr/>
      </xdr:nvSpPr>
      <xdr:spPr>
        <a:xfrm>
          <a:off x="240192" y="1320800"/>
          <a:ext cx="147600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Montserrat" pitchFamily="2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240192</xdr:colOff>
      <xdr:row>9</xdr:row>
      <xdr:rowOff>31750</xdr:rowOff>
    </xdr:from>
    <xdr:to>
      <xdr:col>0</xdr:col>
      <xdr:colOff>1716192</xdr:colOff>
      <xdr:row>11</xdr:row>
      <xdr:rowOff>31750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587E7A7-F9F5-41E7-B7E1-1D5B13D0BE75}"/>
            </a:ext>
          </a:extLst>
        </xdr:cNvPr>
        <xdr:cNvSpPr/>
      </xdr:nvSpPr>
      <xdr:spPr>
        <a:xfrm>
          <a:off x="240192" y="1917700"/>
          <a:ext cx="1476000" cy="419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Montserrat" pitchFamily="2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240192</xdr:colOff>
      <xdr:row>12</xdr:row>
      <xdr:rowOff>0</xdr:rowOff>
    </xdr:from>
    <xdr:to>
      <xdr:col>0</xdr:col>
      <xdr:colOff>1716192</xdr:colOff>
      <xdr:row>14</xdr:row>
      <xdr:rowOff>0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A5B8F4D-2BD7-41BF-994B-65F3A6020CA7}"/>
            </a:ext>
          </a:extLst>
        </xdr:cNvPr>
        <xdr:cNvSpPr/>
      </xdr:nvSpPr>
      <xdr:spPr>
        <a:xfrm>
          <a:off x="240192" y="2540000"/>
          <a:ext cx="1476000" cy="423333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C59332">
                <a:shade val="30000"/>
                <a:satMod val="115000"/>
              </a:srgbClr>
            </a:gs>
            <a:gs pos="50000">
              <a:srgbClr val="C59332">
                <a:shade val="67500"/>
                <a:satMod val="115000"/>
              </a:srgbClr>
            </a:gs>
            <a:gs pos="100000">
              <a:srgbClr val="C59332">
                <a:shade val="100000"/>
                <a:satMod val="115000"/>
              </a:srgbClr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Montserrat" pitchFamily="2" charset="0"/>
            </a:rPr>
            <a:t>NOTAS</a:t>
          </a:r>
        </a:p>
      </xdr:txBody>
    </xdr:sp>
    <xdr:clientData/>
  </xdr:twoCellAnchor>
  <xdr:twoCellAnchor editAs="absolute">
    <xdr:from>
      <xdr:col>0</xdr:col>
      <xdr:colOff>239067</xdr:colOff>
      <xdr:row>6</xdr:row>
      <xdr:rowOff>104775</xdr:rowOff>
    </xdr:from>
    <xdr:to>
      <xdr:col>0</xdr:col>
      <xdr:colOff>553392</xdr:colOff>
      <xdr:row>8</xdr:row>
      <xdr:rowOff>0</xdr:rowOff>
    </xdr:to>
    <xdr:pic>
      <xdr:nvPicPr>
        <xdr:cNvPr id="6" name="Gráfico 5" descr="Debate de grupo com preenchimento sólido">
          <a:extLst>
            <a:ext uri="{FF2B5EF4-FFF2-40B4-BE49-F238E27FC236}">
              <a16:creationId xmlns:a16="http://schemas.microsoft.com/office/drawing/2014/main" id="{65D9575A-B59C-487E-9EE3-C9FB83529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39067" y="1362075"/>
          <a:ext cx="314325" cy="314325"/>
        </a:xfrm>
        <a:prstGeom prst="rect">
          <a:avLst/>
        </a:prstGeom>
      </xdr:spPr>
    </xdr:pic>
    <xdr:clientData/>
  </xdr:twoCellAnchor>
  <xdr:twoCellAnchor editAs="absolute">
    <xdr:from>
      <xdr:col>0</xdr:col>
      <xdr:colOff>259243</xdr:colOff>
      <xdr:row>9</xdr:row>
      <xdr:rowOff>87975</xdr:rowOff>
    </xdr:from>
    <xdr:to>
      <xdr:col>0</xdr:col>
      <xdr:colOff>572443</xdr:colOff>
      <xdr:row>10</xdr:row>
      <xdr:rowOff>191625</xdr:rowOff>
    </xdr:to>
    <xdr:pic>
      <xdr:nvPicPr>
        <xdr:cNvPr id="7" name="Gráfico 6" descr="Lista com preenchimento sólido">
          <a:extLst>
            <a:ext uri="{FF2B5EF4-FFF2-40B4-BE49-F238E27FC236}">
              <a16:creationId xmlns:a16="http://schemas.microsoft.com/office/drawing/2014/main" id="{91B2CFD2-18B6-491A-B4F9-CEDAB0BA6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59243" y="1973925"/>
          <a:ext cx="313200" cy="3132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259243</xdr:colOff>
      <xdr:row>12</xdr:row>
      <xdr:rowOff>29700</xdr:rowOff>
    </xdr:from>
    <xdr:to>
      <xdr:col>0</xdr:col>
      <xdr:colOff>572443</xdr:colOff>
      <xdr:row>13</xdr:row>
      <xdr:rowOff>133350</xdr:rowOff>
    </xdr:to>
    <xdr:pic>
      <xdr:nvPicPr>
        <xdr:cNvPr id="8" name="Gráfico 7" descr="Jornal com preenchimento sólido">
          <a:extLst>
            <a:ext uri="{FF2B5EF4-FFF2-40B4-BE49-F238E27FC236}">
              <a16:creationId xmlns:a16="http://schemas.microsoft.com/office/drawing/2014/main" id="{2ECD735D-91C2-4E0D-B8C5-E54C86D75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259243" y="2544300"/>
          <a:ext cx="313200" cy="3132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161925</xdr:rowOff>
    </xdr:from>
    <xdr:to>
      <xdr:col>3</xdr:col>
      <xdr:colOff>0</xdr:colOff>
      <xdr:row>8</xdr:row>
      <xdr:rowOff>161925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2574A26F-7DEB-4408-B933-22193ACDCC23}"/>
            </a:ext>
          </a:extLst>
        </xdr:cNvPr>
        <xdr:cNvCxnSpPr/>
      </xdr:nvCxnSpPr>
      <xdr:spPr>
        <a:xfrm>
          <a:off x="3333750" y="1952625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240192</xdr:colOff>
      <xdr:row>15</xdr:row>
      <xdr:rowOff>0</xdr:rowOff>
    </xdr:from>
    <xdr:to>
      <xdr:col>0</xdr:col>
      <xdr:colOff>1716192</xdr:colOff>
      <xdr:row>15</xdr:row>
      <xdr:rowOff>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461E5354-3964-4043-B761-F037F4B9E109}"/>
            </a:ext>
          </a:extLst>
        </xdr:cNvPr>
        <xdr:cNvCxnSpPr/>
      </xdr:nvCxnSpPr>
      <xdr:spPr>
        <a:xfrm>
          <a:off x="240192" y="3143250"/>
          <a:ext cx="1476000" cy="0"/>
        </a:xfrm>
        <a:prstGeom prst="line">
          <a:avLst/>
        </a:prstGeom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2116</xdr:colOff>
      <xdr:row>2</xdr:row>
      <xdr:rowOff>19049</xdr:rowOff>
    </xdr:from>
    <xdr:to>
      <xdr:col>7</xdr:col>
      <xdr:colOff>931332</xdr:colOff>
      <xdr:row>3</xdr:row>
      <xdr:rowOff>95248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D95CB23E-CD72-D837-0EF3-190FF8090D0B}"/>
            </a:ext>
          </a:extLst>
        </xdr:cNvPr>
        <xdr:cNvGrpSpPr/>
      </xdr:nvGrpSpPr>
      <xdr:grpSpPr>
        <a:xfrm>
          <a:off x="7726891" y="438149"/>
          <a:ext cx="929216" cy="285749"/>
          <a:chOff x="3354916" y="699486"/>
          <a:chExt cx="952500" cy="287866"/>
        </a:xfrm>
      </xdr:grpSpPr>
      <xdr:sp macro="" textlink="">
        <xdr:nvSpPr>
          <xdr:cNvPr id="14" name="Retângulo: Cantos Arredondados 13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7E5EF58-D3B7-444A-A846-6394F753FE0B}"/>
              </a:ext>
            </a:extLst>
          </xdr:cNvPr>
          <xdr:cNvSpPr/>
        </xdr:nvSpPr>
        <xdr:spPr>
          <a:xfrm>
            <a:off x="3354916" y="699486"/>
            <a:ext cx="952500" cy="287866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0" algn="r"/>
            <a:r>
              <a:rPr lang="pt-BR" sz="800" b="1">
                <a:solidFill>
                  <a:schemeClr val="bg2">
                    <a:lumMod val="10000"/>
                  </a:schemeClr>
                </a:solidFill>
                <a:latin typeface="Montserrat" pitchFamily="2" charset="0"/>
              </a:rPr>
              <a:t>ANTERIOR</a:t>
            </a:r>
            <a:endParaRPr lang="pt-BR" sz="1100" b="1">
              <a:solidFill>
                <a:schemeClr val="bg2">
                  <a:lumMod val="10000"/>
                </a:schemeClr>
              </a:solidFill>
              <a:latin typeface="Montserrat" pitchFamily="2" charset="0"/>
            </a:endParaRPr>
          </a:p>
        </xdr:txBody>
      </xdr:sp>
      <xdr:pic>
        <xdr:nvPicPr>
          <xdr:cNvPr id="15" name="Gráfico 14" descr="Voltar com preenchimento sólido">
            <a:extLst>
              <a:ext uri="{FF2B5EF4-FFF2-40B4-BE49-F238E27FC236}">
                <a16:creationId xmlns:a16="http://schemas.microsoft.com/office/drawing/2014/main" id="{56EA4D89-B600-4B15-A3DF-EC0F556781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3398576" y="710938"/>
            <a:ext cx="244800" cy="246917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64C85-063C-4678-99CB-DCFA5B111E01}" name="Tabela1" displayName="Tabela1" ref="D9:F34" totalsRowShown="0" headerRowDxfId="9" dataDxfId="8">
  <autoFilter ref="D9:F34" xr:uid="{28D64C85-063C-4678-99CB-DCFA5B111E01}"/>
  <tableColumns count="3">
    <tableColumn id="1" xr3:uid="{C560842D-E514-476E-8CCD-6BED53177907}" name="DATA" dataDxfId="7"/>
    <tableColumn id="2" xr3:uid="{C3DB61A7-BD5C-4E8F-862B-FDC11A3E7B90}" name="CATEGORIA" dataDxfId="6"/>
    <tableColumn id="3" xr3:uid="{7778AA5F-44A8-4B71-AFCB-B418E8E96780}" name="VALOR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91BE55-9ED2-4AE3-A0AF-A3696693FF45}" name="Tabela13" displayName="Tabela13" ref="H9:J34" totalsRowShown="0" headerRowDxfId="4" dataDxfId="3">
  <autoFilter ref="H9:J34" xr:uid="{8191BE55-9ED2-4AE3-A0AF-A3696693FF45}"/>
  <tableColumns count="3">
    <tableColumn id="1" xr3:uid="{78340955-3E42-4CAA-B54F-690E04FF0797}" name="DATA" dataDxfId="2"/>
    <tableColumn id="2" xr3:uid="{F91AD85B-9A26-4375-9E9B-AE1C0E65BF0D}" name="CATEGORIA" dataDxfId="1"/>
    <tableColumn id="3" xr3:uid="{AD3A40F9-CF20-4706-BA32-4927511E2EBA}" name="VALOR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A9A6-60B0-45C5-A199-C91A86E99CA8}">
  <dimension ref="A2:F18"/>
  <sheetViews>
    <sheetView showGridLines="0" showRowColHeaders="0" zoomScaleNormal="100" workbookViewId="0">
      <pane xSplit="16" ySplit="40" topLeftCell="Q53" activePane="bottomRight" state="frozen"/>
      <selection pane="topRight" activeCell="Q1" sqref="Q1"/>
      <selection pane="bottomLeft" activeCell="A41" sqref="A41"/>
      <selection pane="bottomRight" activeCell="E16" sqref="E16"/>
    </sheetView>
  </sheetViews>
  <sheetFormatPr defaultRowHeight="16.5" customHeight="1" x14ac:dyDescent="0.35"/>
  <cols>
    <col min="1" max="1" width="31.7109375" style="1" customWidth="1"/>
    <col min="2" max="3" width="2.85546875" customWidth="1"/>
    <col min="4" max="4" width="49.7109375" style="2" bestFit="1" customWidth="1"/>
    <col min="5" max="5" width="42.42578125" style="21" bestFit="1" customWidth="1"/>
  </cols>
  <sheetData>
    <row r="2" spans="4:6" ht="16.5" customHeight="1" thickBot="1" x14ac:dyDescent="0.35">
      <c r="D2" s="22" t="s">
        <v>16</v>
      </c>
      <c r="E2" s="22"/>
      <c r="F2" s="22"/>
    </row>
    <row r="3" spans="4:6" ht="16.5" customHeight="1" thickTop="1" x14ac:dyDescent="0.4">
      <c r="D3" s="27" t="s">
        <v>17</v>
      </c>
      <c r="E3" s="23"/>
      <c r="F3" s="23"/>
    </row>
    <row r="4" spans="4:6" ht="16.5" customHeight="1" x14ac:dyDescent="0.25">
      <c r="D4" s="28"/>
      <c r="E4"/>
    </row>
    <row r="5" spans="4:6" ht="16.5" customHeight="1" x14ac:dyDescent="0.35">
      <c r="D5" s="4" t="s">
        <v>4</v>
      </c>
      <c r="E5" s="9" t="s">
        <v>87</v>
      </c>
    </row>
    <row r="6" spans="4:6" ht="16.5" customHeight="1" x14ac:dyDescent="0.35">
      <c r="D6" s="5" t="s">
        <v>0</v>
      </c>
      <c r="E6" s="10">
        <v>11122233344</v>
      </c>
    </row>
    <row r="7" spans="4:6" ht="16.5" customHeight="1" x14ac:dyDescent="0.35">
      <c r="D7" s="5" t="s">
        <v>5</v>
      </c>
      <c r="E7" s="11">
        <v>26500</v>
      </c>
    </row>
    <row r="8" spans="4:6" ht="16.5" customHeight="1" x14ac:dyDescent="0.35">
      <c r="D8" s="5" t="s">
        <v>6</v>
      </c>
      <c r="E8" s="12">
        <v>1124251025</v>
      </c>
    </row>
    <row r="9" spans="4:6" ht="16.5" customHeight="1" x14ac:dyDescent="0.35">
      <c r="D9" s="5" t="s">
        <v>7</v>
      </c>
      <c r="E9" s="13" t="s">
        <v>88</v>
      </c>
    </row>
    <row r="10" spans="4:6" ht="16.5" customHeight="1" x14ac:dyDescent="0.35">
      <c r="D10" s="5" t="s">
        <v>8</v>
      </c>
      <c r="E10" s="13" t="s">
        <v>89</v>
      </c>
    </row>
    <row r="11" spans="4:6" ht="16.5" customHeight="1" x14ac:dyDescent="0.35">
      <c r="D11" s="5" t="s">
        <v>9</v>
      </c>
      <c r="E11" s="13" t="s">
        <v>90</v>
      </c>
    </row>
    <row r="12" spans="4:6" ht="16.5" customHeight="1" x14ac:dyDescent="0.35">
      <c r="D12" s="5" t="s">
        <v>1</v>
      </c>
      <c r="E12" s="14">
        <v>4291000</v>
      </c>
    </row>
    <row r="13" spans="4:6" ht="16.5" customHeight="1" x14ac:dyDescent="0.35">
      <c r="D13" s="5" t="s">
        <v>10</v>
      </c>
      <c r="E13" s="15">
        <v>1135446652</v>
      </c>
    </row>
    <row r="14" spans="4:6" ht="16.5" customHeight="1" x14ac:dyDescent="0.35">
      <c r="D14" s="5" t="s">
        <v>11</v>
      </c>
      <c r="E14" s="16">
        <v>1198525546</v>
      </c>
    </row>
    <row r="15" spans="4:6" ht="16.5" customHeight="1" x14ac:dyDescent="0.35">
      <c r="D15" s="5" t="s">
        <v>12</v>
      </c>
      <c r="E15" s="17" t="s">
        <v>91</v>
      </c>
    </row>
    <row r="16" spans="4:6" ht="16.5" customHeight="1" x14ac:dyDescent="0.35">
      <c r="D16" s="5" t="s">
        <v>13</v>
      </c>
      <c r="E16" s="13" t="s">
        <v>3</v>
      </c>
    </row>
    <row r="17" spans="4:5" ht="16.5" customHeight="1" x14ac:dyDescent="0.35">
      <c r="D17" s="5" t="s">
        <v>14</v>
      </c>
      <c r="E17" s="13" t="s">
        <v>2</v>
      </c>
    </row>
    <row r="18" spans="4:5" ht="16.5" customHeight="1" x14ac:dyDescent="0.35">
      <c r="D18" s="6" t="s">
        <v>15</v>
      </c>
      <c r="E18" s="18" t="s">
        <v>3</v>
      </c>
    </row>
  </sheetData>
  <sheetProtection sheet="1" objects="1" scenarios="1" selectLockedCells="1"/>
  <dataValidations count="1">
    <dataValidation type="list" allowBlank="1" showInputMessage="1" showErrorMessage="1" sqref="E16:E18" xr:uid="{5BEC87F2-1F7A-4A20-85F6-A541836D90F3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1DEF-523C-490C-819B-6A8CA37957F4}">
  <dimension ref="A2:F20"/>
  <sheetViews>
    <sheetView showGridLines="0" showRowColHeaders="0" zoomScaleNormal="100" workbookViewId="0">
      <pane ySplit="38" topLeftCell="A54" activePane="bottomLeft" state="frozen"/>
      <selection pane="bottomLeft" activeCell="E8" sqref="E8"/>
    </sheetView>
  </sheetViews>
  <sheetFormatPr defaultRowHeight="16.5" customHeight="1" x14ac:dyDescent="0.35"/>
  <cols>
    <col min="1" max="1" width="31.7109375" style="1" customWidth="1"/>
    <col min="2" max="3" width="2.85546875" customWidth="1"/>
    <col min="4" max="4" width="49.7109375" style="20" bestFit="1" customWidth="1"/>
    <col min="5" max="5" width="42.42578125" style="21" bestFit="1" customWidth="1"/>
  </cols>
  <sheetData>
    <row r="2" spans="4:6" ht="16.5" customHeight="1" thickBot="1" x14ac:dyDescent="0.35">
      <c r="D2" s="22" t="s">
        <v>70</v>
      </c>
      <c r="E2" s="22"/>
      <c r="F2" s="22"/>
    </row>
    <row r="3" spans="4:6" ht="16.5" customHeight="1" thickTop="1" x14ac:dyDescent="0.4">
      <c r="D3" s="27" t="s">
        <v>71</v>
      </c>
      <c r="E3" s="23"/>
      <c r="F3" s="23"/>
    </row>
    <row r="5" spans="4:6" ht="16.5" customHeight="1" x14ac:dyDescent="0.5">
      <c r="D5" s="55" t="s">
        <v>79</v>
      </c>
      <c r="E5" s="55"/>
    </row>
    <row r="6" spans="4:6" ht="16.5" customHeight="1" x14ac:dyDescent="0.25">
      <c r="D6" s="53">
        <f>SUM(E9,E14,E19)</f>
        <v>810000</v>
      </c>
      <c r="E6" s="54"/>
    </row>
    <row r="7" spans="4:6" ht="16.5" customHeight="1" x14ac:dyDescent="0.35">
      <c r="D7" s="24" t="s">
        <v>69</v>
      </c>
      <c r="E7" s="25"/>
    </row>
    <row r="8" spans="4:6" ht="16.5" customHeight="1" x14ac:dyDescent="0.35">
      <c r="D8" s="3" t="s">
        <v>72</v>
      </c>
      <c r="E8" s="40" t="s">
        <v>25</v>
      </c>
    </row>
    <row r="9" spans="4:6" ht="16.5" customHeight="1" x14ac:dyDescent="0.35">
      <c r="D9" s="19" t="s">
        <v>73</v>
      </c>
      <c r="E9" s="41">
        <v>310000</v>
      </c>
    </row>
    <row r="10" spans="4:6" ht="16.5" customHeight="1" x14ac:dyDescent="0.35">
      <c r="D10" s="3" t="s">
        <v>74</v>
      </c>
      <c r="E10" s="42"/>
    </row>
    <row r="11" spans="4:6" ht="16.5" customHeight="1" x14ac:dyDescent="0.35">
      <c r="D11" s="26"/>
      <c r="E11" s="8"/>
    </row>
    <row r="12" spans="4:6" ht="16.5" customHeight="1" x14ac:dyDescent="0.35">
      <c r="D12" s="24" t="s">
        <v>75</v>
      </c>
      <c r="E12" s="7"/>
    </row>
    <row r="13" spans="4:6" ht="16.5" customHeight="1" x14ac:dyDescent="0.35">
      <c r="D13" s="3" t="s">
        <v>72</v>
      </c>
      <c r="E13" s="40" t="s">
        <v>28</v>
      </c>
    </row>
    <row r="14" spans="4:6" ht="16.5" customHeight="1" x14ac:dyDescent="0.35">
      <c r="D14" s="19" t="s">
        <v>73</v>
      </c>
      <c r="E14" s="41">
        <v>350000</v>
      </c>
    </row>
    <row r="15" spans="4:6" ht="16.5" customHeight="1" x14ac:dyDescent="0.35">
      <c r="D15" s="3" t="s">
        <v>74</v>
      </c>
      <c r="E15" s="42"/>
    </row>
    <row r="16" spans="4:6" ht="16.5" customHeight="1" x14ac:dyDescent="0.35">
      <c r="D16" s="26"/>
      <c r="E16" s="8"/>
    </row>
    <row r="17" spans="4:5" ht="16.5" customHeight="1" x14ac:dyDescent="0.35">
      <c r="D17" s="24" t="s">
        <v>76</v>
      </c>
      <c r="E17" s="7"/>
    </row>
    <row r="18" spans="4:5" ht="16.5" customHeight="1" x14ac:dyDescent="0.35">
      <c r="D18" s="3" t="s">
        <v>72</v>
      </c>
      <c r="E18" s="40" t="s">
        <v>24</v>
      </c>
    </row>
    <row r="19" spans="4:5" ht="16.5" customHeight="1" x14ac:dyDescent="0.35">
      <c r="D19" s="19" t="s">
        <v>73</v>
      </c>
      <c r="E19" s="41">
        <v>150000</v>
      </c>
    </row>
    <row r="20" spans="4:5" ht="16.5" customHeight="1" x14ac:dyDescent="0.35">
      <c r="D20" s="3" t="s">
        <v>74</v>
      </c>
      <c r="E20" s="42"/>
    </row>
  </sheetData>
  <sheetProtection sheet="1" objects="1" scenarios="1" selectLockedCells="1"/>
  <mergeCells count="2">
    <mergeCell ref="D6:E6"/>
    <mergeCell ref="D5:E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Inexistente" error="Banco não cadastrado" promptTitle="Selecione o banco" prompt="Selecione o banco vinculado ao seu CPF_x000a_" xr:uid="{63821139-27C2-48E2-8346-00547BC24D74}">
          <x14:formula1>
            <xm:f>TABELA_APOIO!$A$2:$A$51</xm:f>
          </x14:formula1>
          <xm:sqref>E8 E13 E18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C93B-0318-4CA3-938B-E7C12C4FE993}">
  <dimension ref="A2:J34"/>
  <sheetViews>
    <sheetView showGridLines="0" showRowColHeaders="0" tabSelected="1" zoomScaleNormal="100" workbookViewId="0">
      <selection activeCell="D3" sqref="D3"/>
    </sheetView>
  </sheetViews>
  <sheetFormatPr defaultRowHeight="16.5" customHeight="1" x14ac:dyDescent="0.25"/>
  <cols>
    <col min="1" max="1" width="31.7109375" style="1" customWidth="1"/>
    <col min="2" max="3" width="2.85546875" customWidth="1"/>
    <col min="4" max="5" width="24.28515625" style="29" customWidth="1"/>
    <col min="6" max="6" width="24.28515625" style="33" customWidth="1"/>
    <col min="7" max="7" width="5.5703125" customWidth="1"/>
    <col min="8" max="9" width="24" customWidth="1"/>
    <col min="10" max="10" width="24" style="37" customWidth="1"/>
  </cols>
  <sheetData>
    <row r="2" spans="1:10" ht="16.5" customHeight="1" thickBot="1" x14ac:dyDescent="0.35">
      <c r="D2" s="22" t="s">
        <v>77</v>
      </c>
      <c r="E2" s="31"/>
      <c r="F2" s="34"/>
    </row>
    <row r="3" spans="1:10" ht="16.5" customHeight="1" thickTop="1" x14ac:dyDescent="0.4">
      <c r="D3" s="27" t="s">
        <v>78</v>
      </c>
      <c r="E3" s="32"/>
      <c r="F3" s="35"/>
    </row>
    <row r="4" spans="1:10" ht="16.5" customHeight="1" x14ac:dyDescent="0.25">
      <c r="D4"/>
    </row>
    <row r="5" spans="1:10" ht="16.5" customHeight="1" x14ac:dyDescent="0.25">
      <c r="D5" s="50" t="s">
        <v>79</v>
      </c>
      <c r="E5" s="50"/>
      <c r="F5" s="50"/>
      <c r="H5" s="51" t="s">
        <v>79</v>
      </c>
      <c r="I5" s="51"/>
      <c r="J5" s="52"/>
    </row>
    <row r="6" spans="1:10" ht="16.5" customHeight="1" x14ac:dyDescent="0.25">
      <c r="D6" s="53">
        <f>SUM(F10:F10000)</f>
        <v>3500</v>
      </c>
      <c r="E6" s="53"/>
      <c r="F6" s="53"/>
      <c r="H6" s="46">
        <f>SUM(J10:J10000)</f>
        <v>3222</v>
      </c>
      <c r="I6" s="46"/>
      <c r="J6" s="46"/>
    </row>
    <row r="7" spans="1:10" s="39" customFormat="1" ht="16.5" customHeight="1" x14ac:dyDescent="0.25">
      <c r="A7" s="38"/>
      <c r="D7" s="53"/>
      <c r="E7" s="53"/>
      <c r="F7" s="53"/>
      <c r="H7" s="46"/>
      <c r="I7" s="46"/>
      <c r="J7" s="46"/>
    </row>
    <row r="8" spans="1:10" ht="16.5" customHeight="1" x14ac:dyDescent="0.25">
      <c r="D8" s="47" t="s">
        <v>80</v>
      </c>
      <c r="E8" s="47"/>
      <c r="F8" s="47"/>
      <c r="H8" s="48" t="s">
        <v>84</v>
      </c>
      <c r="I8" s="48"/>
      <c r="J8" s="49"/>
    </row>
    <row r="9" spans="1:10" ht="16.5" customHeight="1" x14ac:dyDescent="0.5">
      <c r="D9" s="30" t="s">
        <v>81</v>
      </c>
      <c r="E9" s="30" t="s">
        <v>82</v>
      </c>
      <c r="F9" s="36" t="s">
        <v>83</v>
      </c>
      <c r="H9" s="30" t="s">
        <v>81</v>
      </c>
      <c r="I9" s="30" t="s">
        <v>82</v>
      </c>
      <c r="J9" s="36" t="s">
        <v>83</v>
      </c>
    </row>
    <row r="10" spans="1:10" ht="16.5" customHeight="1" x14ac:dyDescent="0.25">
      <c r="D10" s="43">
        <v>46304</v>
      </c>
      <c r="E10" s="44" t="s">
        <v>85</v>
      </c>
      <c r="F10" s="45">
        <v>3500</v>
      </c>
      <c r="H10" s="43">
        <v>46296</v>
      </c>
      <c r="I10" s="44" t="s">
        <v>86</v>
      </c>
      <c r="J10" s="45">
        <v>3222</v>
      </c>
    </row>
    <row r="11" spans="1:10" ht="16.5" customHeight="1" x14ac:dyDescent="0.25">
      <c r="D11" s="44"/>
      <c r="E11" s="44"/>
      <c r="F11" s="45"/>
      <c r="H11" s="44"/>
      <c r="I11" s="44"/>
      <c r="J11" s="45"/>
    </row>
    <row r="12" spans="1:10" ht="16.5" customHeight="1" x14ac:dyDescent="0.25">
      <c r="D12" s="44"/>
      <c r="E12" s="44"/>
      <c r="F12" s="45"/>
      <c r="H12" s="44"/>
      <c r="I12" s="44"/>
      <c r="J12" s="45"/>
    </row>
    <row r="13" spans="1:10" ht="16.5" customHeight="1" x14ac:dyDescent="0.25">
      <c r="D13" s="44"/>
      <c r="E13" s="44"/>
      <c r="F13" s="45"/>
      <c r="H13" s="44"/>
      <c r="I13" s="44"/>
      <c r="J13" s="45"/>
    </row>
    <row r="14" spans="1:10" ht="16.5" customHeight="1" x14ac:dyDescent="0.25">
      <c r="D14" s="44"/>
      <c r="E14" s="44"/>
      <c r="F14" s="45"/>
      <c r="H14" s="44"/>
      <c r="I14" s="44"/>
      <c r="J14" s="45"/>
    </row>
    <row r="15" spans="1:10" ht="16.5" customHeight="1" x14ac:dyDescent="0.25">
      <c r="D15" s="44"/>
      <c r="E15" s="44"/>
      <c r="F15" s="45"/>
      <c r="H15" s="44"/>
      <c r="I15" s="44"/>
      <c r="J15" s="45"/>
    </row>
    <row r="16" spans="1:10" ht="16.5" customHeight="1" x14ac:dyDescent="0.25">
      <c r="D16" s="44"/>
      <c r="E16" s="44"/>
      <c r="F16" s="45"/>
      <c r="H16" s="44"/>
      <c r="I16" s="44"/>
      <c r="J16" s="45"/>
    </row>
    <row r="17" spans="4:10" ht="16.5" customHeight="1" x14ac:dyDescent="0.25">
      <c r="D17" s="44"/>
      <c r="E17" s="44"/>
      <c r="F17" s="45"/>
      <c r="H17" s="44"/>
      <c r="I17" s="44"/>
      <c r="J17" s="45"/>
    </row>
    <row r="18" spans="4:10" ht="16.5" customHeight="1" x14ac:dyDescent="0.25">
      <c r="D18" s="44"/>
      <c r="E18" s="44"/>
      <c r="F18" s="45"/>
      <c r="H18" s="44"/>
      <c r="I18" s="44"/>
      <c r="J18" s="45"/>
    </row>
    <row r="19" spans="4:10" ht="16.5" customHeight="1" x14ac:dyDescent="0.25">
      <c r="D19" s="44"/>
      <c r="E19" s="44"/>
      <c r="F19" s="45"/>
      <c r="H19" s="44"/>
      <c r="I19" s="44"/>
      <c r="J19" s="45"/>
    </row>
    <row r="20" spans="4:10" ht="16.5" customHeight="1" x14ac:dyDescent="0.25">
      <c r="D20" s="44"/>
      <c r="E20" s="44"/>
      <c r="F20" s="45"/>
      <c r="H20" s="44"/>
      <c r="I20" s="44"/>
      <c r="J20" s="45"/>
    </row>
    <row r="21" spans="4:10" ht="16.5" customHeight="1" x14ac:dyDescent="0.25">
      <c r="D21" s="44"/>
      <c r="E21" s="44"/>
      <c r="F21" s="45"/>
      <c r="H21" s="44"/>
      <c r="I21" s="44"/>
      <c r="J21" s="45"/>
    </row>
    <row r="22" spans="4:10" ht="16.5" customHeight="1" x14ac:dyDescent="0.25">
      <c r="D22" s="44"/>
      <c r="E22" s="44"/>
      <c r="F22" s="45"/>
      <c r="H22" s="44"/>
      <c r="I22" s="44"/>
      <c r="J22" s="45"/>
    </row>
    <row r="23" spans="4:10" ht="16.5" customHeight="1" x14ac:dyDescent="0.25">
      <c r="D23" s="44"/>
      <c r="E23" s="44"/>
      <c r="F23" s="45"/>
      <c r="H23" s="44"/>
      <c r="I23" s="44"/>
      <c r="J23" s="45"/>
    </row>
    <row r="24" spans="4:10" ht="16.5" customHeight="1" x14ac:dyDescent="0.25">
      <c r="D24" s="44"/>
      <c r="E24" s="44"/>
      <c r="F24" s="45"/>
      <c r="H24" s="44"/>
      <c r="I24" s="44"/>
      <c r="J24" s="45"/>
    </row>
    <row r="25" spans="4:10" ht="16.5" customHeight="1" x14ac:dyDescent="0.25">
      <c r="D25" s="44"/>
      <c r="E25" s="44"/>
      <c r="F25" s="45"/>
      <c r="H25" s="44"/>
      <c r="I25" s="44"/>
      <c r="J25" s="45"/>
    </row>
    <row r="26" spans="4:10" ht="16.5" customHeight="1" x14ac:dyDescent="0.25">
      <c r="D26" s="44"/>
      <c r="E26" s="44"/>
      <c r="F26" s="45"/>
      <c r="H26" s="44"/>
      <c r="I26" s="44"/>
      <c r="J26" s="45"/>
    </row>
    <row r="27" spans="4:10" ht="16.5" customHeight="1" x14ac:dyDescent="0.25">
      <c r="D27" s="44"/>
      <c r="E27" s="44"/>
      <c r="F27" s="45"/>
      <c r="H27" s="44"/>
      <c r="I27" s="44"/>
      <c r="J27" s="45"/>
    </row>
    <row r="28" spans="4:10" ht="16.5" customHeight="1" x14ac:dyDescent="0.25">
      <c r="D28" s="44"/>
      <c r="E28" s="44"/>
      <c r="F28" s="45"/>
      <c r="H28" s="44"/>
      <c r="I28" s="44"/>
      <c r="J28" s="45"/>
    </row>
    <row r="29" spans="4:10" ht="16.5" customHeight="1" x14ac:dyDescent="0.25">
      <c r="D29" s="44"/>
      <c r="E29" s="44"/>
      <c r="F29" s="45"/>
      <c r="H29" s="44"/>
      <c r="I29" s="44"/>
      <c r="J29" s="45"/>
    </row>
    <row r="30" spans="4:10" ht="16.5" customHeight="1" x14ac:dyDescent="0.25">
      <c r="D30" s="44"/>
      <c r="E30" s="44"/>
      <c r="F30" s="45"/>
      <c r="H30" s="44"/>
      <c r="I30" s="44"/>
      <c r="J30" s="45"/>
    </row>
    <row r="31" spans="4:10" ht="16.5" customHeight="1" x14ac:dyDescent="0.25">
      <c r="D31" s="44"/>
      <c r="E31" s="44"/>
      <c r="F31" s="45"/>
      <c r="H31" s="44"/>
      <c r="I31" s="44"/>
      <c r="J31" s="45"/>
    </row>
    <row r="32" spans="4:10" ht="16.5" customHeight="1" x14ac:dyDescent="0.25">
      <c r="D32" s="44"/>
      <c r="E32" s="44"/>
      <c r="F32" s="45"/>
      <c r="H32" s="44"/>
      <c r="I32" s="44"/>
      <c r="J32" s="45"/>
    </row>
    <row r="33" spans="4:10" ht="16.5" customHeight="1" x14ac:dyDescent="0.25">
      <c r="D33" s="44"/>
      <c r="E33" s="44"/>
      <c r="F33" s="45"/>
      <c r="H33" s="44"/>
      <c r="I33" s="44"/>
      <c r="J33" s="45"/>
    </row>
    <row r="34" spans="4:10" ht="16.5" customHeight="1" x14ac:dyDescent="0.25">
      <c r="D34" s="44"/>
      <c r="E34" s="44"/>
      <c r="F34" s="45"/>
      <c r="H34" s="44"/>
      <c r="I34" s="44"/>
      <c r="J34" s="45"/>
    </row>
  </sheetData>
  <sheetProtection selectLockedCells="1"/>
  <mergeCells count="6">
    <mergeCell ref="H6:J7"/>
    <mergeCell ref="D8:F8"/>
    <mergeCell ref="H8:J8"/>
    <mergeCell ref="D5:F5"/>
    <mergeCell ref="H5:J5"/>
    <mergeCell ref="D6:F7"/>
  </mergeCells>
  <dataValidations count="3">
    <dataValidation type="list" allowBlank="1" showInputMessage="1" showErrorMessage="1" errorTitle="Categoria" error="Categoria inserida não está cadastrado_x000a_" promptTitle="Categoria" prompt="Selecione a categoria de receita" sqref="E11:E34" xr:uid="{2C037F3F-DEC9-46F6-87B3-E52E1E75688A}">
      <formula1>"HOLERITE,CNPJ,FREELANCE"</formula1>
    </dataValidation>
    <dataValidation type="list" allowBlank="1" showInputMessage="1" showErrorMessage="1" errorTitle="Categoria Despesa" error="A categoria inserida não correspondente" promptTitle="Categoria despesa" prompt="Selecione a categoria correspondente" sqref="I10:I34" xr:uid="{9A1A617A-21D4-428E-A984-79043AD2FED4}">
      <formula1>"SAÚDE, EDUCAÇÃO,PREVIDÊNCIA, DEPENDENTES, OUTROS"</formula1>
    </dataValidation>
    <dataValidation type="list" allowBlank="1" showInputMessage="1" showErrorMessage="1" errorTitle="Categoria entrada" error="Categoria inserida não está cadastrado_x000a_" promptTitle="Categoria entrada" prompt="Selecione a categoria de receita" sqref="E10" xr:uid="{F1E0E0D8-02B7-4A22-9258-BD17088ABE0D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2249-2F6E-4831-B7A6-35695A04820B}">
  <dimension ref="A1:A51"/>
  <sheetViews>
    <sheetView topLeftCell="A37" workbookViewId="0">
      <selection activeCell="G54" sqref="G54"/>
    </sheetView>
  </sheetViews>
  <sheetFormatPr defaultRowHeight="15" x14ac:dyDescent="0.25"/>
  <cols>
    <col min="1" max="1" width="38.5703125" bestFit="1" customWidth="1"/>
  </cols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28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32</v>
      </c>
    </row>
    <row r="16" spans="1:1" x14ac:dyDescent="0.25">
      <c r="A16" t="s">
        <v>33</v>
      </c>
    </row>
    <row r="17" spans="1:1" x14ac:dyDescent="0.25">
      <c r="A17" t="s">
        <v>34</v>
      </c>
    </row>
    <row r="18" spans="1:1" x14ac:dyDescent="0.25">
      <c r="A18" t="s">
        <v>35</v>
      </c>
    </row>
    <row r="19" spans="1:1" x14ac:dyDescent="0.25">
      <c r="A19" t="s">
        <v>36</v>
      </c>
    </row>
    <row r="20" spans="1:1" x14ac:dyDescent="0.25">
      <c r="A20" t="s">
        <v>37</v>
      </c>
    </row>
    <row r="21" spans="1:1" x14ac:dyDescent="0.25">
      <c r="A21" t="s">
        <v>38</v>
      </c>
    </row>
    <row r="22" spans="1:1" x14ac:dyDescent="0.25">
      <c r="A22" t="s">
        <v>39</v>
      </c>
    </row>
    <row r="23" spans="1:1" x14ac:dyDescent="0.25">
      <c r="A23" t="s">
        <v>40</v>
      </c>
    </row>
    <row r="24" spans="1:1" x14ac:dyDescent="0.25">
      <c r="A24" t="s">
        <v>41</v>
      </c>
    </row>
    <row r="25" spans="1:1" x14ac:dyDescent="0.25">
      <c r="A25" t="s">
        <v>42</v>
      </c>
    </row>
    <row r="26" spans="1:1" x14ac:dyDescent="0.25">
      <c r="A26" t="s">
        <v>43</v>
      </c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48</v>
      </c>
    </row>
    <row r="32" spans="1:1" x14ac:dyDescent="0.25">
      <c r="A32" t="s">
        <v>49</v>
      </c>
    </row>
    <row r="33" spans="1:1" x14ac:dyDescent="0.25">
      <c r="A33" t="s">
        <v>50</v>
      </c>
    </row>
    <row r="34" spans="1:1" x14ac:dyDescent="0.25">
      <c r="A34" t="s">
        <v>51</v>
      </c>
    </row>
    <row r="35" spans="1:1" x14ac:dyDescent="0.25">
      <c r="A35" t="s">
        <v>52</v>
      </c>
    </row>
    <row r="36" spans="1:1" x14ac:dyDescent="0.25">
      <c r="A36" t="s">
        <v>53</v>
      </c>
    </row>
    <row r="37" spans="1:1" x14ac:dyDescent="0.25">
      <c r="A37" t="s">
        <v>54</v>
      </c>
    </row>
    <row r="38" spans="1:1" x14ac:dyDescent="0.25">
      <c r="A38" t="s">
        <v>55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  <row r="42" spans="1:1" x14ac:dyDescent="0.25">
      <c r="A42" t="s">
        <v>59</v>
      </c>
    </row>
    <row r="43" spans="1:1" x14ac:dyDescent="0.25">
      <c r="A43" t="s">
        <v>60</v>
      </c>
    </row>
    <row r="44" spans="1:1" x14ac:dyDescent="0.25">
      <c r="A44" t="s">
        <v>61</v>
      </c>
    </row>
    <row r="45" spans="1:1" x14ac:dyDescent="0.25">
      <c r="A45" t="s">
        <v>62</v>
      </c>
    </row>
    <row r="46" spans="1:1" x14ac:dyDescent="0.25">
      <c r="A46" t="s">
        <v>63</v>
      </c>
    </row>
    <row r="47" spans="1:1" x14ac:dyDescent="0.25">
      <c r="A47" t="s">
        <v>64</v>
      </c>
    </row>
    <row r="48" spans="1:1" x14ac:dyDescent="0.25">
      <c r="A48" t="s">
        <v>65</v>
      </c>
    </row>
    <row r="49" spans="1:1" x14ac:dyDescent="0.25">
      <c r="A49" t="s">
        <v>66</v>
      </c>
    </row>
    <row r="50" spans="1:1" x14ac:dyDescent="0.25">
      <c r="A50" t="s">
        <v>67</v>
      </c>
    </row>
    <row r="51" spans="1:1" x14ac:dyDescent="0.25">
      <c r="A51" t="s">
        <v>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TABELA_APOIO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wabher miyoshi</dc:creator>
  <cp:lastModifiedBy>wabher miyoshi</cp:lastModifiedBy>
  <cp:lastPrinted>2026-10-09T17:40:13Z</cp:lastPrinted>
  <dcterms:created xsi:type="dcterms:W3CDTF">2026-10-09T14:40:02Z</dcterms:created>
  <dcterms:modified xsi:type="dcterms:W3CDTF">2026-10-10T01:19:29Z</dcterms:modified>
</cp:coreProperties>
</file>